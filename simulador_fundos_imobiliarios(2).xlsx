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imulador" sheetId="1" state="visible" r:id="rId3"/>
    <sheet name="Apoio" sheetId="2" state="visible" r:id="rId4"/>
    <sheet name="Cenarios" sheetId="3" state="visible" r:id="rId5"/>
    <sheet name="Explicacao" sheetId="4" state="visible" r:id="rId6"/>
  </sheets>
  <definedNames>
    <definedName function="false" hidden="true" localSheetId="1" name="_xlnm._FilterDatabase" vbProcedure="false">Apoio!$A$3:$E$6</definedName>
    <definedName function="false" hidden="true" localSheetId="2" name="_xlnm._FilterDatabase" vbProcedure="false">Cenarios!$A$3:$H$32</definedName>
    <definedName function="false" hidden="false" name="AnosProjetados" vbProcedure="false">Simulador!$B$10</definedName>
    <definedName function="false" hidden="false" name="AporteMensal" vbProcedure="false">Simulador!$B$6</definedName>
    <definedName function="false" hidden="false" name="DividendYield" vbProcedure="false">Simulador!$B$8</definedName>
    <definedName function="false" hidden="false" name="PatrimonioInicial" vbProcedure="false">Simulador!$B$9</definedName>
    <definedName function="false" hidden="false" name="PerfilSelecionado" vbProcedure="false">Simulador!$B$5</definedName>
    <definedName function="false" hidden="false" name="RentabilidadeAnual" vbProcedure="false">Simulador!$B$7</definedName>
    <definedName function="false" hidden="false" name="TabelaPerfis" vbProcedure="false">Apoio!$A$4:$E$6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<sst xmlns="http://schemas.openxmlformats.org/spreadsheetml/2006/main" count="62" uniqueCount="56">
  <si>
    <t xml:space="preserve">Simulador de Investimentos em Fundos Imobiliários</t>
  </si>
  <si>
    <t xml:space="preserve">1. Entradas</t>
  </si>
  <si>
    <t xml:space="preserve">Perfil do investidor</t>
  </si>
  <si>
    <t xml:space="preserve">Conservador</t>
  </si>
  <si>
    <t xml:space="preserve">Aporte mensal</t>
  </si>
  <si>
    <t xml:space="preserve">Rentabilidade anual</t>
  </si>
  <si>
    <t xml:space="preserve">Dividend Yield anual</t>
  </si>
  <si>
    <t xml:space="preserve">Patrimônio inicial</t>
  </si>
  <si>
    <t xml:space="preserve">Anos projetados</t>
  </si>
  <si>
    <t xml:space="preserve">Taxa mensal equivalente</t>
  </si>
  <si>
    <t xml:space="preserve">Patrimônio final (VF)</t>
  </si>
  <si>
    <t xml:space="preserve">Dividendos mensais estimados</t>
  </si>
  <si>
    <t xml:space="preserve">Dividendos anuais estimados</t>
  </si>
  <si>
    <t xml:space="preserve">2. Como o cálculo funciona</t>
  </si>
  <si>
    <t xml:space="preserve">1.</t>
  </si>
  <si>
    <t xml:space="preserve">O perfil selecionado busca aporte, rentabilidade anual e dividend yield na tabela de apoio por PROCV.</t>
  </si>
  <si>
    <t xml:space="preserve">2.</t>
  </si>
  <si>
    <t xml:space="preserve">A rentabilidade anual é convertida em taxa mensal equivalente.</t>
  </si>
  <si>
    <t xml:space="preserve">3.</t>
  </si>
  <si>
    <t xml:space="preserve">A função VF calcula o patrimônio futuro considerando aporte mensal e patrimônio inicial.</t>
  </si>
  <si>
    <t xml:space="preserve">4.</t>
  </si>
  <si>
    <t xml:space="preserve">Os dividendos estimados são calculados aplicando o dividend yield anual sobre o patrimônio final.</t>
  </si>
  <si>
    <t xml:space="preserve">5.</t>
  </si>
  <si>
    <t xml:space="preserve">A aba Cenarios mostra a evolução para todos os horizontes de 2 a 30 anos.</t>
  </si>
  <si>
    <t xml:space="preserve">Tabela de apoio — Perfis e premissas</t>
  </si>
  <si>
    <t xml:space="preserve">Perfil</t>
  </si>
  <si>
    <t xml:space="preserve">DY anual</t>
  </si>
  <si>
    <t xml:space="preserve">Objetivo</t>
  </si>
  <si>
    <t xml:space="preserve">Prioriza menor volatilidade</t>
  </si>
  <si>
    <t xml:space="preserve">Moderado</t>
  </si>
  <si>
    <t xml:space="preserve">Equilíbrio entre crescimento e renda</t>
  </si>
  <si>
    <t xml:space="preserve">Arrojado</t>
  </si>
  <si>
    <t xml:space="preserve">Aceita maior volatilidade</t>
  </si>
  <si>
    <t xml:space="preserve">Observação</t>
  </si>
  <si>
    <t xml:space="preserve">Premissas ilustrativas para fins educacionais. Não representam recomendação de investimento.</t>
  </si>
  <si>
    <t xml:space="preserve">Cenários de 2 a 30 anos</t>
  </si>
  <si>
    <t xml:space="preserve">Anos</t>
  </si>
  <si>
    <t xml:space="preserve">Meses</t>
  </si>
  <si>
    <t xml:space="preserve">Aportes acumulados</t>
  </si>
  <si>
    <t xml:space="preserve">Patrimônio final</t>
  </si>
  <si>
    <t xml:space="preserve">Ganho sobre aportes</t>
  </si>
  <si>
    <t xml:space="preserve">Dividendos anuais</t>
  </si>
  <si>
    <t xml:space="preserve">Dividendos mensais</t>
  </si>
  <si>
    <t xml:space="preserve">Renda mensal / aporte</t>
  </si>
  <si>
    <t xml:space="preserve">Explicação dos cálculos</t>
  </si>
  <si>
    <t xml:space="preserve">Elemento</t>
  </si>
  <si>
    <t xml:space="preserve">Descrição</t>
  </si>
  <si>
    <t xml:space="preserve">PROCV</t>
  </si>
  <si>
    <t xml:space="preserve">Busca o aporte mensal, a rentabilidade anual e o dividend yield do perfil escolhido na tabela de apoio.</t>
  </si>
  <si>
    <t xml:space="preserve">VF</t>
  </si>
  <si>
    <t xml:space="preserve">Intervalos nomeados</t>
  </si>
  <si>
    <t xml:space="preserve">Os nomes PerfilSelecionado, AporteMensal, RentabilidadeAnual, DividendYield, PatrimonioInicial e AnosProjetados tornam as fórmulas mais legíveis.</t>
  </si>
  <si>
    <t xml:space="preserve">Cenários</t>
  </si>
  <si>
    <t xml:space="preserve">A tabela apresenta horizontes de 2 a 30 anos, permitindo comparar patrimônio, aportes, ganho e renda estimada.</t>
  </si>
  <si>
    <t xml:space="preserve">Importante</t>
  </si>
  <si>
    <t xml:space="preserve">A ferramenta é uma simulação educacional. Fundos imobiliários possuem riscos, custos, vacância, oscilações de cotas e dividendos variáveis.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</si>
</sst>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&quot;R$ &quot;#,##0.00"/>
    <numFmt numFmtId="166" formatCode="0.00%"/>
    <numFmt numFmtId="167" formatCode="0"/>
    <numFmt numFmtId="168" formatCode="0.0000%"/>
    <numFmt numFmtId="169" formatCode="0.00\x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b val="true"/>
      <sz val="11"/>
      <name val="Cambria"/>
      <family val="0"/>
      <charset val="1"/>
    </font>
    <font>
      <b val="true"/>
      <sz val="12"/>
      <color rgb="FF70AD47"/>
      <name val="Cambria"/>
      <family val="0"/>
      <charset val="1"/>
    </font>
    <font>
      <i val="true"/>
      <sz val="11"/>
      <color rgb="FF1F1F1F"/>
      <name val="Cambria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2F75B5"/>
        <bgColor rgb="FF4A7EBB"/>
      </patternFill>
    </fill>
    <fill>
      <patternFill patternType="solid">
        <fgColor rgb="FFD9EAF7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5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9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2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0AD47"/>
          <bgColor rgb="FF000000"/>
        </patternFill>
      </fill>
    </dxf>
    <dxf>
      <fill>
        <patternFill patternType="solid">
          <fgColor rgb="FF7CB45B"/>
          <bgColor rgb="FF000000"/>
        </patternFill>
      </fill>
    </dxf>
    <dxf>
      <fill>
        <patternFill patternType="solid">
          <fgColor rgb="FF87BB6E"/>
          <bgColor rgb="FF000000"/>
        </patternFill>
      </fill>
    </dxf>
    <dxf>
      <fill>
        <patternFill patternType="solid">
          <fgColor rgb="FF91C17F"/>
          <bgColor rgb="FF000000"/>
        </patternFill>
      </fill>
    </dxf>
    <dxf>
      <fill>
        <patternFill patternType="solid">
          <fgColor rgb="FF9BC68E"/>
          <bgColor rgb="FF000000"/>
        </patternFill>
      </fill>
    </dxf>
    <dxf>
      <fill>
        <patternFill patternType="solid">
          <fgColor rgb="FFA3CB9D"/>
          <bgColor rgb="FF000000"/>
        </patternFill>
      </fill>
    </dxf>
    <dxf>
      <fill>
        <patternFill patternType="solid">
          <fgColor rgb="FFABD0AA"/>
          <bgColor rgb="FF000000"/>
        </patternFill>
      </fill>
    </dxf>
    <dxf>
      <fill>
        <patternFill patternType="solid">
          <fgColor rgb="FFB3D4B7"/>
          <bgColor rgb="FF000000"/>
        </patternFill>
      </fill>
    </dxf>
    <dxf>
      <fill>
        <patternFill patternType="solid">
          <fgColor rgb="FFBAD8C2"/>
          <bgColor rgb="FF000000"/>
        </patternFill>
      </fill>
    </dxf>
    <dxf>
      <fill>
        <patternFill patternType="solid">
          <fgColor rgb="FFC0DCCD"/>
          <bgColor rgb="FF000000"/>
        </patternFill>
      </fill>
    </dxf>
    <dxf>
      <fill>
        <patternFill patternType="solid">
          <fgColor rgb="FFC6DFD7"/>
          <bgColor rgb="FF000000"/>
        </patternFill>
      </fill>
    </dxf>
    <dxf>
      <fill>
        <patternFill patternType="solid">
          <fgColor rgb="FFCBE2E0"/>
          <bgColor rgb="FF000000"/>
        </patternFill>
      </fill>
    </dxf>
    <dxf>
      <fill>
        <patternFill patternType="solid">
          <fgColor rgb="FFD0E5E8"/>
          <bgColor rgb="FF000000"/>
        </patternFill>
      </fill>
    </dxf>
    <dxf>
      <fill>
        <patternFill patternType="solid">
          <fgColor rgb="FFD5E8F0"/>
          <bgColor rgb="FF000000"/>
        </patternFill>
      </fill>
    </dxf>
    <dxf>
      <fill>
        <patternFill patternType="solid">
          <fgColor rgb="FFD9EAF7"/>
          <bgColor rgb="FF000000"/>
        </patternFill>
      </fill>
    </dxf>
    <dxf>
      <fill>
        <patternFill patternType="solid">
          <fgColor rgb="FFDEEDF8"/>
          <bgColor rgb="FF000000"/>
        </patternFill>
      </fill>
    </dxf>
    <dxf>
      <fill>
        <patternFill patternType="solid">
          <fgColor rgb="FFE2EFF9"/>
          <bgColor rgb="FF000000"/>
        </patternFill>
      </fill>
    </dxf>
    <dxf>
      <fill>
        <patternFill patternType="solid">
          <fgColor rgb="FFE5F1FA"/>
          <bgColor rgb="FF000000"/>
        </patternFill>
      </fill>
    </dxf>
    <dxf>
      <fill>
        <patternFill patternType="solid">
          <fgColor rgb="FFE9F3FB"/>
          <bgColor rgb="FF000000"/>
        </patternFill>
      </fill>
    </dxf>
    <dxf>
      <fill>
        <patternFill patternType="solid">
          <fgColor rgb="FFECF5FB"/>
          <bgColor rgb="FF000000"/>
        </patternFill>
      </fill>
    </dxf>
    <dxf>
      <fill>
        <patternFill patternType="solid">
          <fgColor rgb="FFEFF6FC"/>
          <bgColor rgb="FF000000"/>
        </patternFill>
      </fill>
    </dxf>
    <dxf>
      <fill>
        <patternFill patternType="solid">
          <fgColor rgb="FFF1F8FD"/>
          <bgColor rgb="FF000000"/>
        </patternFill>
      </fill>
    </dxf>
    <dxf>
      <fill>
        <patternFill patternType="solid">
          <fgColor rgb="FFF4F9FD"/>
          <bgColor rgb="FF000000"/>
        </patternFill>
      </fill>
    </dxf>
    <dxf>
      <fill>
        <patternFill patternType="solid">
          <fgColor rgb="FFF6FAFE"/>
          <bgColor rgb="FF000000"/>
        </patternFill>
      </fill>
    </dxf>
    <dxf>
      <fill>
        <patternFill patternType="solid">
          <fgColor rgb="FFF8FCFE"/>
          <bgColor rgb="FF000000"/>
        </patternFill>
      </fill>
    </dxf>
    <dxf>
      <fill>
        <patternFill patternType="solid">
          <fgColor rgb="FFFAFDFE"/>
          <bgColor rgb="FF000000"/>
        </patternFill>
      </fill>
    </dxf>
    <dxf>
      <fill>
        <patternFill patternType="solid">
          <fgColor rgb="FFFCFEFF"/>
          <bgColor rgb="FF000000"/>
        </patternFill>
      </fill>
    </dxf>
    <dxf>
      <fill>
        <patternFill patternType="solid">
          <fgColor rgb="FFFE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78787"/>
      <rgbColor rgb="FF9999FF"/>
      <rgbColor rgb="FF993366"/>
      <rgbColor rgb="FFF2F2F2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F75B5"/>
      <rgbColor rgb="FF33CCCC"/>
      <rgbColor rgb="FF99CC00"/>
      <rgbColor rgb="FFFFCC00"/>
      <rgbColor rgb="FFFF9900"/>
      <rgbColor rgb="FFFF6600"/>
      <rgbColor rgb="FF4A7EBB"/>
      <rgbColor rgb="FF70AD47"/>
      <rgbColor rgb="FF17365D"/>
      <rgbColor rgb="FF4F81BD"/>
      <rgbColor rgb="FF003300"/>
      <rgbColor rgb="FF333300"/>
      <rgbColor rgb="FF993300"/>
      <rgbColor rgb="FF993366"/>
      <rgbColor rgb="FF333399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Patrimônio projetado por horizonte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Cenarios!D3</c:f>
              <c:strCache>
                <c:ptCount val="1"/>
                <c:pt idx="0">
                  <c:v>Patrimônio final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leaderLines>
              <c:spPr>
                <a:ln w="2844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Cenarios!$A$4:$A$32</c:f>
              <c:strCach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strCache>
            </c:strRef>
          </c:cat>
          <c:val>
            <c:numRef>
              <c:f>Cenarios!$D$4:$D$32</c:f>
              <c:numCache>
                <c:formatCode>"R$ "#,##0.00</c:formatCode>
                <c:ptCount val="29"/>
                <c:pt idx="0">
                  <c:v>12931.2419397358</c:v>
                </c:pt>
                <c:pt idx="1">
                  <c:v>20182.6845351723</c:v>
                </c:pt>
                <c:pt idx="2">
                  <c:v>28014.2425382437</c:v>
                </c:pt>
                <c:pt idx="3">
                  <c:v>36472.3251815609</c:v>
                </c:pt>
                <c:pt idx="4">
                  <c:v>45607.0544363433</c:v>
                </c:pt>
                <c:pt idx="5">
                  <c:v>55472.5620315084</c:v>
                </c:pt>
                <c:pt idx="6">
                  <c:v>66127.3102342867</c:v>
                </c:pt>
                <c:pt idx="7">
                  <c:v>77634.4382932872</c:v>
                </c:pt>
                <c:pt idx="8">
                  <c:v>90062.1365970078</c:v>
                </c:pt>
                <c:pt idx="9">
                  <c:v>103484.050765026</c:v>
                </c:pt>
                <c:pt idx="10">
                  <c:v>117979.718066486</c:v>
                </c:pt>
                <c:pt idx="11">
                  <c:v>133635.038752062</c:v>
                </c:pt>
                <c:pt idx="12">
                  <c:v>150542.785092485</c:v>
                </c:pt>
                <c:pt idx="13">
                  <c:v>168803.151140141</c:v>
                </c:pt>
                <c:pt idx="14">
                  <c:v>188524.34647161</c:v>
                </c:pt>
                <c:pt idx="15">
                  <c:v>209823.237429596</c:v>
                </c:pt>
                <c:pt idx="16">
                  <c:v>232826.039664222</c:v>
                </c:pt>
                <c:pt idx="17">
                  <c:v>257669.066077617</c:v>
                </c:pt>
                <c:pt idx="18">
                  <c:v>284499.534604084</c:v>
                </c:pt>
                <c:pt idx="19">
                  <c:v>313476.440612668</c:v>
                </c:pt>
                <c:pt idx="20">
                  <c:v>344771.499101939</c:v>
                </c:pt>
                <c:pt idx="21">
                  <c:v>378570.162270352</c:v>
                </c:pt>
                <c:pt idx="22">
                  <c:v>415072.718492237</c:v>
                </c:pt>
                <c:pt idx="23">
                  <c:v>454495.479211874</c:v>
                </c:pt>
                <c:pt idx="24">
                  <c:v>497072.060789081</c:v>
                </c:pt>
                <c:pt idx="25">
                  <c:v>543054.768892465</c:v>
                </c:pt>
                <c:pt idx="26">
                  <c:v>592716.09364412</c:v>
                </c:pt>
                <c:pt idx="27">
                  <c:v>646350.324375907</c:v>
                </c:pt>
                <c:pt idx="28">
                  <c:v>704275.293566237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7959837"/>
        <c:axId val="54471045"/>
      </c:lineChart>
      <c:catAx>
        <c:axId val="879598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Anos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54471045"/>
        <c:crosses val="autoZero"/>
        <c:auto val="1"/>
        <c:lblAlgn val="ctr"/>
        <c:lblOffset val="100"/>
        <c:noMultiLvlLbl val="0"/>
      </c:catAx>
      <c:valAx>
        <c:axId val="544710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Patrimônio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879598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0" sz="1300" strike="noStrike" u="none">
                <a:uFillTx/>
                <a:latin typeface="Arial"/>
              </a:defRPr>
            </a:pPr>
            <a:r>
              <a:rPr b="1" sz="1800" strike="noStrike" u="none">
                <a:solidFill>
                  <a:srgbClr val="000000"/>
                </a:solidFill>
                <a:uFillTx/>
                <a:latin typeface="Calibri"/>
              </a:rPr>
              <a:t>Dividendos anuais por horizonte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Cenarios!F3</c:f>
              <c:strCache>
                <c:ptCount val="1"/>
                <c:pt idx="0">
                  <c:v>Dividendos anuais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trike="noStrike" u="none">
                    <a:uFillTx/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Cenarios!$A$4:$A$32</c:f>
              <c:strCache>
                <c:ptCount val="29"/>
                <c:pt idx="0">
                  <c:v>2</c:v>
                </c:pt>
                <c:pt idx="1">
                  <c:v>3</c:v>
                </c:pt>
                <c:pt idx="2">
                  <c:v>4</c:v>
                </c:pt>
                <c:pt idx="3">
                  <c:v>5</c:v>
                </c:pt>
                <c:pt idx="4">
                  <c:v>6</c:v>
                </c:pt>
                <c:pt idx="5">
                  <c:v>7</c:v>
                </c:pt>
                <c:pt idx="6">
                  <c:v>8</c:v>
                </c:pt>
                <c:pt idx="7">
                  <c:v>9</c:v>
                </c:pt>
                <c:pt idx="8">
                  <c:v>10</c:v>
                </c:pt>
                <c:pt idx="9">
                  <c:v>11</c:v>
                </c:pt>
                <c:pt idx="10">
                  <c:v>12</c:v>
                </c:pt>
                <c:pt idx="11">
                  <c:v>13</c:v>
                </c:pt>
                <c:pt idx="12">
                  <c:v>14</c:v>
                </c:pt>
                <c:pt idx="13">
                  <c:v>15</c:v>
                </c:pt>
                <c:pt idx="14">
                  <c:v>16</c:v>
                </c:pt>
                <c:pt idx="15">
                  <c:v>17</c:v>
                </c:pt>
                <c:pt idx="16">
                  <c:v>18</c:v>
                </c:pt>
                <c:pt idx="17">
                  <c:v>19</c:v>
                </c:pt>
                <c:pt idx="18">
                  <c:v>20</c:v>
                </c:pt>
                <c:pt idx="19">
                  <c:v>21</c:v>
                </c:pt>
                <c:pt idx="20">
                  <c:v>22</c:v>
                </c:pt>
                <c:pt idx="21">
                  <c:v>23</c:v>
                </c:pt>
                <c:pt idx="22">
                  <c:v>24</c:v>
                </c:pt>
                <c:pt idx="23">
                  <c:v>25</c:v>
                </c:pt>
                <c:pt idx="24">
                  <c:v>26</c:v>
                </c:pt>
                <c:pt idx="25">
                  <c:v>27</c:v>
                </c:pt>
                <c:pt idx="26">
                  <c:v>28</c:v>
                </c:pt>
                <c:pt idx="27">
                  <c:v>29</c:v>
                </c:pt>
                <c:pt idx="28">
                  <c:v>30</c:v>
                </c:pt>
              </c:strCache>
            </c:strRef>
          </c:cat>
          <c:val>
            <c:numRef>
              <c:f>Cenarios!$F$4:$F$32</c:f>
              <c:numCache>
                <c:formatCode>"R$ "#,##0.00</c:formatCode>
                <c:ptCount val="29"/>
                <c:pt idx="0">
                  <c:v>905.186935781509</c:v>
                </c:pt>
                <c:pt idx="1">
                  <c:v>1412.78791746206</c:v>
                </c:pt>
                <c:pt idx="2">
                  <c:v>1960.99697767706</c:v>
                </c:pt>
                <c:pt idx="3">
                  <c:v>2553.06276270926</c:v>
                </c:pt>
                <c:pt idx="4">
                  <c:v>3192.49381054403</c:v>
                </c:pt>
                <c:pt idx="5">
                  <c:v>3883.07934220559</c:v>
                </c:pt>
                <c:pt idx="6">
                  <c:v>4628.91171640007</c:v>
                </c:pt>
                <c:pt idx="7">
                  <c:v>5434.41068053011</c:v>
                </c:pt>
                <c:pt idx="8">
                  <c:v>6304.34956179055</c:v>
                </c:pt>
                <c:pt idx="9">
                  <c:v>7243.88355355183</c:v>
                </c:pt>
                <c:pt idx="10">
                  <c:v>8258.580264654</c:v>
                </c:pt>
                <c:pt idx="11">
                  <c:v>9354.45271264435</c:v>
                </c:pt>
                <c:pt idx="12">
                  <c:v>10537.9949564739</c:v>
                </c:pt>
                <c:pt idx="13">
                  <c:v>11816.2205798099</c:v>
                </c:pt>
                <c:pt idx="14">
                  <c:v>13196.7042530127</c:v>
                </c:pt>
                <c:pt idx="15">
                  <c:v>14687.6266200717</c:v>
                </c:pt>
                <c:pt idx="16">
                  <c:v>16297.8227764955</c:v>
                </c:pt>
                <c:pt idx="17">
                  <c:v>18036.8346254332</c:v>
                </c:pt>
                <c:pt idx="18">
                  <c:v>19914.9674222859</c:v>
                </c:pt>
                <c:pt idx="19">
                  <c:v>21943.3508428868</c:v>
                </c:pt>
                <c:pt idx="20">
                  <c:v>24134.0049371357</c:v>
                </c:pt>
                <c:pt idx="21">
                  <c:v>26499.9113589246</c:v>
                </c:pt>
                <c:pt idx="22">
                  <c:v>29055.0902944566</c:v>
                </c:pt>
                <c:pt idx="23">
                  <c:v>31814.6835448312</c:v>
                </c:pt>
                <c:pt idx="24">
                  <c:v>34795.0442552357</c:v>
                </c:pt>
                <c:pt idx="25">
                  <c:v>38013.8338224725</c:v>
                </c:pt>
                <c:pt idx="26">
                  <c:v>41490.1265550884</c:v>
                </c:pt>
                <c:pt idx="27">
                  <c:v>45244.5227063135</c:v>
                </c:pt>
                <c:pt idx="28">
                  <c:v>49299.2705496366</c:v>
                </c:pt>
              </c:numCache>
            </c:numRef>
          </c:val>
        </c:ser>
        <c:gapWidth val="150"/>
        <c:overlap val="0"/>
        <c:axId val="13439561"/>
        <c:axId val="31857806"/>
      </c:barChart>
      <c:catAx>
        <c:axId val="1343956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31857806"/>
        <c:crosses val="autoZero"/>
        <c:auto val="1"/>
        <c:lblAlgn val="ctr"/>
        <c:lblOffset val="100"/>
        <c:noMultiLvlLbl val="0"/>
      </c:catAx>
      <c:valAx>
        <c:axId val="3185780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0" sz="1300" strike="noStrike" u="none">
                    <a:uFillTx/>
                    <a:latin typeface="Arial"/>
                  </a:defRPr>
                </a:pPr>
                <a:r>
                  <a:rPr b="1" sz="1000" strike="noStrike" u="none">
                    <a:solidFill>
                      <a:srgbClr val="000000"/>
                    </a:solidFill>
                    <a:uFillTx/>
                    <a:latin typeface="Calibri"/>
                  </a:rPr>
                  <a:t>Dividendos anuais (R$)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&quot;R$ &quot;#,##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trike="noStrike" u="none">
                <a:solidFill>
                  <a:srgbClr val="000000"/>
                </a:solidFill>
                <a:uFillTx/>
                <a:latin typeface="Calibri"/>
              </a:defRPr>
            </a:pPr>
          </a:p>
        </c:txPr>
        <c:crossAx val="134395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trike="noStrike" u="none">
              <a:solidFill>
                <a:srgbClr val="000000"/>
              </a:solidFill>
              <a:uFillTx/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9</xdr:col>
      <xdr:colOff>0</xdr:colOff>
      <xdr:row>1</xdr:row>
      <xdr:rowOff>100800</xdr:rowOff>
    </xdr:from>
    <xdr:to>
      <xdr:col>17</xdr:col>
      <xdr:colOff>507600</xdr:colOff>
      <xdr:row>15</xdr:row>
      <xdr:rowOff>144000</xdr:rowOff>
    </xdr:to>
    <xdr:graphicFrame>
      <xdr:nvGraphicFramePr>
        <xdr:cNvPr id="0" name="Chart 1"/>
        <xdr:cNvGraphicFramePr/>
      </xdr:nvGraphicFramePr>
      <xdr:xfrm>
        <a:off x="13721760" y="38088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17</xdr:row>
      <xdr:rowOff>121680</xdr:rowOff>
    </xdr:from>
    <xdr:to>
      <xdr:col>17</xdr:col>
      <xdr:colOff>507600</xdr:colOff>
      <xdr:row>32</xdr:row>
      <xdr:rowOff>144000</xdr:rowOff>
    </xdr:to>
    <xdr:graphicFrame>
      <xdr:nvGraphicFramePr>
        <xdr:cNvPr id="1" name="Chart 2"/>
        <xdr:cNvGraphicFramePr/>
      </xdr:nvGraphicFramePr>
      <xdr:xfrm>
        <a:off x="13721760" y="3619440"/>
        <a:ext cx="5399640" cy="287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8" min="6" style="0" width="22"/>
  </cols>
  <sheetData>
    <row r="1" customFormat="false" ht="22.0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</row>
    <row r="3" customFormat="false" ht="15" hidden="false" customHeight="false" outlineLevel="0" collapsed="false">
      <c r="A3" s="4" t="s">
        <v>1</v>
      </c>
      <c r="B3" s="4"/>
      <c r="C3" s="4"/>
      <c r="D3" s="4"/>
      <c r="E3" s="4"/>
      <c r="F3" s="4"/>
      <c r="G3" s="4"/>
    </row>
    <row r="4" customFormat="false" ht="15" hidden="false" customHeight="false" outlineLevel="0" collapsed="false">
      <c r="A4" s="2"/>
      <c r="B4" s="3"/>
      <c r="C4" s="3"/>
      <c r="D4" s="3"/>
      <c r="E4" s="3"/>
      <c r="F4" s="3"/>
      <c r="G4" s="3"/>
    </row>
    <row r="5" customFormat="false" ht="15" hidden="false" customHeight="false" outlineLevel="0" collapsed="false">
      <c r="A5" s="5" t="s">
        <v>2</v>
      </c>
      <c r="B5" s="6" t="s">
        <v>3</v>
      </c>
      <c r="C5" s="3"/>
      <c r="D5" s="3"/>
      <c r="E5" s="3"/>
      <c r="F5" s="3"/>
      <c r="G5" s="3"/>
    </row>
    <row r="6" customFormat="false" ht="15" hidden="false" customHeight="false" outlineLevel="0" collapsed="false">
      <c r="A6" s="5" t="s">
        <v>4</v>
      </c>
      <c r="B6" s="7" t="n">
        <f aca="false">VLOOKUP(B5,Apoio!$A$4:$E$6,2,FALSE())</f>
        <v>500</v>
      </c>
      <c r="C6" s="3"/>
      <c r="D6" s="3"/>
      <c r="E6" s="3"/>
      <c r="F6" s="3"/>
      <c r="G6" s="3"/>
    </row>
    <row r="7" customFormat="false" ht="15" hidden="false" customHeight="false" outlineLevel="0" collapsed="false">
      <c r="A7" s="5" t="s">
        <v>5</v>
      </c>
      <c r="B7" s="8" t="n">
        <f aca="false">VLOOKUP(B5,Apoio!$A$4:$E$6,3,FALSE())</f>
        <v>0.08</v>
      </c>
      <c r="C7" s="3"/>
      <c r="D7" s="3"/>
      <c r="E7" s="3"/>
      <c r="F7" s="3"/>
      <c r="G7" s="3"/>
    </row>
    <row r="8" customFormat="false" ht="15" hidden="false" customHeight="false" outlineLevel="0" collapsed="false">
      <c r="A8" s="5" t="s">
        <v>6</v>
      </c>
      <c r="B8" s="8" t="n">
        <f aca="false">VLOOKUP(B5,Apoio!$A$4:$E$6,4,FALSE())</f>
        <v>0.07</v>
      </c>
      <c r="C8" s="3"/>
      <c r="D8" s="3"/>
      <c r="E8" s="3"/>
      <c r="F8" s="3"/>
      <c r="G8" s="3"/>
    </row>
    <row r="9" customFormat="false" ht="15" hidden="false" customHeight="false" outlineLevel="0" collapsed="false">
      <c r="A9" s="5" t="s">
        <v>7</v>
      </c>
      <c r="B9" s="9" t="n">
        <v>0</v>
      </c>
      <c r="C9" s="3"/>
      <c r="D9" s="3"/>
      <c r="E9" s="3"/>
      <c r="F9" s="3"/>
      <c r="G9" s="3"/>
    </row>
    <row r="10" customFormat="false" ht="15" hidden="false" customHeight="false" outlineLevel="0" collapsed="false">
      <c r="A10" s="5" t="s">
        <v>8</v>
      </c>
      <c r="B10" s="10" t="n">
        <v>10</v>
      </c>
      <c r="C10" s="3"/>
      <c r="D10" s="3"/>
      <c r="E10" s="3"/>
      <c r="F10" s="3"/>
      <c r="G10" s="3"/>
    </row>
    <row r="11" customFormat="false" ht="15" hidden="false" customHeight="false" outlineLevel="0" collapsed="false">
      <c r="A11" s="2"/>
      <c r="B11" s="3"/>
      <c r="C11" s="3"/>
      <c r="D11" s="3"/>
      <c r="E11" s="3"/>
      <c r="F11" s="3"/>
      <c r="G11" s="3"/>
    </row>
    <row r="12" customFormat="false" ht="15" hidden="false" customHeight="false" outlineLevel="0" collapsed="false">
      <c r="A12" s="2"/>
      <c r="B12" s="3" t="s">
        <v>9</v>
      </c>
      <c r="C12" s="11" t="n">
        <f aca="false">(1+B7)^(1/12)-1</f>
        <v>0.00643403011000343</v>
      </c>
      <c r="D12" s="3"/>
      <c r="E12" s="3"/>
      <c r="F12" s="3"/>
      <c r="G12" s="3"/>
    </row>
    <row r="13" customFormat="false" ht="15" hidden="false" customHeight="false" outlineLevel="0" collapsed="false">
      <c r="A13" s="2"/>
      <c r="B13" s="3" t="s">
        <v>10</v>
      </c>
      <c r="C13" s="12" t="n">
        <f aca="false">FV(C12,B10,-B6,-B9,0)</f>
        <v>5147.2776656983</v>
      </c>
      <c r="D13" s="3"/>
      <c r="E13" s="3"/>
      <c r="F13" s="3"/>
      <c r="G13" s="3"/>
    </row>
    <row r="14" customFormat="false" ht="15" hidden="false" customHeight="false" outlineLevel="0" collapsed="false">
      <c r="A14" s="2"/>
      <c r="B14" s="3" t="s">
        <v>11</v>
      </c>
      <c r="C14" s="12" t="n">
        <f aca="false">C13*B8/12</f>
        <v>30.0257863832401</v>
      </c>
      <c r="D14" s="3"/>
      <c r="E14" s="3"/>
      <c r="F14" s="3"/>
      <c r="G14" s="3"/>
    </row>
    <row r="15" customFormat="false" ht="15" hidden="false" customHeight="false" outlineLevel="0" collapsed="false">
      <c r="A15" s="2"/>
      <c r="B15" s="3" t="s">
        <v>12</v>
      </c>
      <c r="C15" s="12" t="n">
        <f aca="false">C13*B8</f>
        <v>360.309436598881</v>
      </c>
      <c r="D15" s="3"/>
      <c r="E15" s="3"/>
      <c r="F15" s="3"/>
      <c r="G15" s="3"/>
    </row>
    <row r="16" customFormat="false" ht="15" hidden="false" customHeight="false" outlineLevel="0" collapsed="false">
      <c r="A16" s="2"/>
      <c r="B16" s="3"/>
      <c r="C16" s="3"/>
      <c r="D16" s="3"/>
      <c r="E16" s="3"/>
      <c r="F16" s="3"/>
      <c r="G16" s="3"/>
    </row>
    <row r="17" customFormat="false" ht="15" hidden="false" customHeight="false" outlineLevel="0" collapsed="false">
      <c r="A17" s="2"/>
      <c r="B17" s="3"/>
      <c r="C17" s="3"/>
      <c r="D17" s="3"/>
      <c r="E17" s="3"/>
      <c r="F17" s="3"/>
      <c r="G17" s="3"/>
    </row>
    <row r="18" customFormat="false" ht="15" hidden="false" customHeight="false" outlineLevel="0" collapsed="false">
      <c r="A18" s="4" t="s">
        <v>13</v>
      </c>
      <c r="B18" s="4"/>
      <c r="C18" s="4"/>
      <c r="D18" s="4"/>
      <c r="E18" s="4"/>
      <c r="F18" s="4"/>
      <c r="G18" s="4"/>
    </row>
    <row r="19" customFormat="false" ht="15" hidden="false" customHeight="true" outlineLevel="0" collapsed="false">
      <c r="A19" s="2" t="s">
        <v>14</v>
      </c>
      <c r="B19" s="13" t="s">
        <v>15</v>
      </c>
      <c r="C19" s="13"/>
      <c r="D19" s="13"/>
      <c r="E19" s="13"/>
      <c r="F19" s="13"/>
      <c r="G19" s="13"/>
    </row>
    <row r="20" customFormat="false" ht="15" hidden="false" customHeight="true" outlineLevel="0" collapsed="false">
      <c r="A20" s="2" t="s">
        <v>16</v>
      </c>
      <c r="B20" s="13" t="s">
        <v>17</v>
      </c>
      <c r="C20" s="13"/>
      <c r="D20" s="13"/>
      <c r="E20" s="13"/>
      <c r="F20" s="13"/>
      <c r="G20" s="13"/>
    </row>
    <row r="21" customFormat="false" ht="15" hidden="false" customHeight="true" outlineLevel="0" collapsed="false">
      <c r="A21" s="2" t="s">
        <v>18</v>
      </c>
      <c r="B21" s="13" t="s">
        <v>19</v>
      </c>
      <c r="C21" s="13"/>
      <c r="D21" s="13"/>
      <c r="E21" s="13"/>
      <c r="F21" s="13"/>
      <c r="G21" s="13"/>
    </row>
    <row r="22" customFormat="false" ht="15" hidden="false" customHeight="true" outlineLevel="0" collapsed="false">
      <c r="A22" s="2" t="s">
        <v>20</v>
      </c>
      <c r="B22" s="13" t="s">
        <v>21</v>
      </c>
      <c r="C22" s="13"/>
      <c r="D22" s="13"/>
      <c r="E22" s="13"/>
      <c r="F22" s="13"/>
      <c r="G22" s="13"/>
    </row>
    <row r="23" customFormat="false" ht="15" hidden="false" customHeight="true" outlineLevel="0" collapsed="false">
      <c r="A23" s="2" t="s">
        <v>22</v>
      </c>
      <c r="B23" s="13" t="s">
        <v>23</v>
      </c>
      <c r="C23" s="13"/>
      <c r="D23" s="13"/>
      <c r="E23" s="13"/>
      <c r="F23" s="13"/>
      <c r="G23" s="13"/>
    </row>
  </sheetData>
  <mergeCells count="8">
    <mergeCell ref="A1:G1"/>
    <mergeCell ref="A3:G3"/>
    <mergeCell ref="A18:G18"/>
    <mergeCell ref="B19:G19"/>
    <mergeCell ref="B20:G20"/>
    <mergeCell ref="B21:G21"/>
    <mergeCell ref="B22:G22"/>
    <mergeCell ref="B23:G23"/>
  </mergeCells>
  <dataValidations count="1">
    <dataValidation allowBlank="false" errorStyle="stop" operator="between" showDropDown="false" showErrorMessage="false" showInputMessage="false" sqref="B5" type="list">
      <formula1>"Conservador,Moderado,Arrojado"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8" min="6" style="0" width="22"/>
  </cols>
  <sheetData>
    <row r="1" customFormat="false" ht="22.05" hidden="false" customHeight="false" outlineLevel="0" collapsed="false">
      <c r="A1" s="1" t="s">
        <v>24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</row>
    <row r="3" customFormat="false" ht="15" hidden="false" customHeight="false" outlineLevel="0" collapsed="false">
      <c r="A3" s="14" t="s">
        <v>25</v>
      </c>
      <c r="B3" s="15" t="s">
        <v>4</v>
      </c>
      <c r="C3" s="15" t="s">
        <v>5</v>
      </c>
      <c r="D3" s="15" t="s">
        <v>26</v>
      </c>
      <c r="E3" s="15" t="s">
        <v>27</v>
      </c>
      <c r="F3" s="3"/>
    </row>
    <row r="4" customFormat="false" ht="15" hidden="false" customHeight="false" outlineLevel="0" collapsed="false">
      <c r="A4" s="2" t="s">
        <v>3</v>
      </c>
      <c r="B4" s="9" t="n">
        <v>500</v>
      </c>
      <c r="C4" s="16" t="n">
        <v>0.08</v>
      </c>
      <c r="D4" s="16" t="n">
        <v>0.07</v>
      </c>
      <c r="E4" s="3" t="s">
        <v>28</v>
      </c>
      <c r="F4" s="3"/>
    </row>
    <row r="5" customFormat="false" ht="15" hidden="false" customHeight="false" outlineLevel="0" collapsed="false">
      <c r="A5" s="2" t="s">
        <v>29</v>
      </c>
      <c r="B5" s="9" t="n">
        <v>1000</v>
      </c>
      <c r="C5" s="16" t="n">
        <v>0.1</v>
      </c>
      <c r="D5" s="16" t="n">
        <v>0.08</v>
      </c>
      <c r="E5" s="3" t="s">
        <v>30</v>
      </c>
      <c r="F5" s="3"/>
    </row>
    <row r="6" customFormat="false" ht="15" hidden="false" customHeight="false" outlineLevel="0" collapsed="false">
      <c r="A6" s="2" t="s">
        <v>31</v>
      </c>
      <c r="B6" s="9" t="n">
        <v>1500</v>
      </c>
      <c r="C6" s="16" t="n">
        <v>0.12</v>
      </c>
      <c r="D6" s="16" t="n">
        <v>0.09</v>
      </c>
      <c r="E6" s="3" t="s">
        <v>32</v>
      </c>
      <c r="F6" s="3"/>
    </row>
    <row r="7" customFormat="false" ht="15" hidden="false" customHeight="false" outlineLevel="0" collapsed="false">
      <c r="A7" s="2"/>
      <c r="B7" s="3"/>
      <c r="C7" s="3"/>
      <c r="D7" s="3"/>
      <c r="E7" s="3"/>
      <c r="F7" s="3"/>
    </row>
    <row r="8" customFormat="false" ht="15" hidden="false" customHeight="false" outlineLevel="0" collapsed="false">
      <c r="A8" s="2"/>
      <c r="B8" s="3"/>
      <c r="C8" s="3"/>
      <c r="D8" s="3"/>
      <c r="E8" s="3"/>
      <c r="F8" s="3"/>
    </row>
    <row r="9" customFormat="false" ht="15" hidden="false" customHeight="true" outlineLevel="0" collapsed="false">
      <c r="A9" s="2" t="s">
        <v>33</v>
      </c>
      <c r="B9" s="17" t="s">
        <v>34</v>
      </c>
      <c r="C9" s="17"/>
      <c r="D9" s="17"/>
      <c r="E9" s="17"/>
      <c r="F9" s="17"/>
    </row>
    <row r="10" customFormat="false" ht="15" hidden="false" customHeight="false" outlineLevel="0" collapsed="false">
      <c r="A10" s="2"/>
      <c r="B10" s="17"/>
      <c r="C10" s="17"/>
      <c r="D10" s="17"/>
      <c r="E10" s="17"/>
      <c r="F10" s="17"/>
    </row>
  </sheetData>
  <autoFilter ref="A3:E6"/>
  <mergeCells count="2">
    <mergeCell ref="A1:F1"/>
    <mergeCell ref="B9:F1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8" min="6" style="0" width="22"/>
  </cols>
  <sheetData>
    <row r="1" customFormat="false" ht="22.05" hidden="false" customHeight="false" outlineLevel="0" collapsed="false">
      <c r="A1" s="1" t="s">
        <v>35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/>
      <c r="B2" s="3"/>
      <c r="C2" s="3"/>
      <c r="D2" s="3"/>
      <c r="E2" s="3"/>
      <c r="F2" s="3"/>
      <c r="G2" s="3"/>
      <c r="H2" s="3"/>
    </row>
    <row r="3" customFormat="false" ht="28.35" hidden="false" customHeight="false" outlineLevel="0" collapsed="false">
      <c r="A3" s="14" t="s">
        <v>36</v>
      </c>
      <c r="B3" s="18" t="s">
        <v>37</v>
      </c>
      <c r="C3" s="18" t="s">
        <v>38</v>
      </c>
      <c r="D3" s="18" t="s">
        <v>39</v>
      </c>
      <c r="E3" s="18" t="s">
        <v>40</v>
      </c>
      <c r="F3" s="18" t="s">
        <v>41</v>
      </c>
      <c r="G3" s="18" t="s">
        <v>42</v>
      </c>
      <c r="H3" s="18" t="s">
        <v>43</v>
      </c>
    </row>
    <row r="4" customFormat="false" ht="15" hidden="false" customHeight="false" outlineLevel="0" collapsed="false">
      <c r="A4" s="2" t="n">
        <v>2</v>
      </c>
      <c r="B4" s="3" t="n">
        <f aca="false">A4*12</f>
        <v>24</v>
      </c>
      <c r="C4" s="9" t="n">
        <f aca="false">B4*AporteMensal</f>
        <v>12000</v>
      </c>
      <c r="D4" s="9" t="n">
        <f aca="false">FV((1+RentabilidadeAnual)^(1/12)-1,B4,-AporteMensal,-PatrimonioInicial,0)</f>
        <v>12931.2419397358</v>
      </c>
      <c r="E4" s="9" t="n">
        <f aca="false">D4-C4</f>
        <v>931.241939735848</v>
      </c>
      <c r="F4" s="9" t="n">
        <f aca="false">D4*DividendYield</f>
        <v>905.186935781509</v>
      </c>
      <c r="G4" s="9" t="n">
        <f aca="false">F4/12</f>
        <v>75.4322446484591</v>
      </c>
      <c r="H4" s="19" t="n">
        <f aca="false">G4/AporteMensal</f>
        <v>0.150864489296918</v>
      </c>
    </row>
    <row r="5" customFormat="false" ht="15" hidden="false" customHeight="false" outlineLevel="0" collapsed="false">
      <c r="A5" s="2" t="n">
        <v>3</v>
      </c>
      <c r="B5" s="3" t="n">
        <f aca="false">A5*12</f>
        <v>36</v>
      </c>
      <c r="C5" s="9" t="n">
        <f aca="false">B5*AporteMensal</f>
        <v>18000</v>
      </c>
      <c r="D5" s="9" t="n">
        <f aca="false">FV((1+RentabilidadeAnual)^(1/12)-1,B5,-AporteMensal,-PatrimonioInicial,0)</f>
        <v>20182.6845351723</v>
      </c>
      <c r="E5" s="9" t="n">
        <f aca="false">D5-C5</f>
        <v>2182.68453517234</v>
      </c>
      <c r="F5" s="9" t="n">
        <f aca="false">D5*DividendYield</f>
        <v>1412.78791746206</v>
      </c>
      <c r="G5" s="9" t="n">
        <f aca="false">F5/12</f>
        <v>117.732326455172</v>
      </c>
      <c r="H5" s="19" t="n">
        <f aca="false">G5/AporteMensal</f>
        <v>0.235464652910344</v>
      </c>
    </row>
    <row r="6" customFormat="false" ht="15" hidden="false" customHeight="false" outlineLevel="0" collapsed="false">
      <c r="A6" s="2" t="n">
        <v>4</v>
      </c>
      <c r="B6" s="3" t="n">
        <f aca="false">A6*12</f>
        <v>48</v>
      </c>
      <c r="C6" s="9" t="n">
        <f aca="false">B6*AporteMensal</f>
        <v>24000</v>
      </c>
      <c r="D6" s="9" t="n">
        <f aca="false">FV((1+RentabilidadeAnual)^(1/12)-1,B6,-AporteMensal,-PatrimonioInicial,0)</f>
        <v>28014.2425382437</v>
      </c>
      <c r="E6" s="9" t="n">
        <f aca="false">D6-C6</f>
        <v>4014.24253824374</v>
      </c>
      <c r="F6" s="9" t="n">
        <f aca="false">D6*DividendYield</f>
        <v>1960.99697767706</v>
      </c>
      <c r="G6" s="9" t="n">
        <f aca="false">F6/12</f>
        <v>163.416414806422</v>
      </c>
      <c r="H6" s="19" t="n">
        <f aca="false">G6/AporteMensal</f>
        <v>0.326832829612844</v>
      </c>
    </row>
    <row r="7" customFormat="false" ht="15" hidden="false" customHeight="false" outlineLevel="0" collapsed="false">
      <c r="A7" s="2" t="n">
        <v>5</v>
      </c>
      <c r="B7" s="3" t="n">
        <f aca="false">A7*12</f>
        <v>60</v>
      </c>
      <c r="C7" s="9" t="n">
        <f aca="false">B7*AporteMensal</f>
        <v>30000</v>
      </c>
      <c r="D7" s="9" t="n">
        <f aca="false">FV((1+RentabilidadeAnual)^(1/12)-1,B7,-AporteMensal,-PatrimonioInicial,0)</f>
        <v>36472.3251815609</v>
      </c>
      <c r="E7" s="9" t="n">
        <f aca="false">D7-C7</f>
        <v>6472.32518156087</v>
      </c>
      <c r="F7" s="9" t="n">
        <f aca="false">D7*DividendYield</f>
        <v>2553.06276270926</v>
      </c>
      <c r="G7" s="9" t="n">
        <f aca="false">F7/12</f>
        <v>212.755230225772</v>
      </c>
      <c r="H7" s="19" t="n">
        <f aca="false">G7/AporteMensal</f>
        <v>0.425510460451543</v>
      </c>
    </row>
    <row r="8" customFormat="false" ht="15" hidden="false" customHeight="false" outlineLevel="0" collapsed="false">
      <c r="A8" s="2" t="n">
        <v>6</v>
      </c>
      <c r="B8" s="3" t="n">
        <f aca="false">A8*12</f>
        <v>72</v>
      </c>
      <c r="C8" s="9" t="n">
        <f aca="false">B8*AporteMensal</f>
        <v>36000</v>
      </c>
      <c r="D8" s="9" t="n">
        <f aca="false">FV((1+RentabilidadeAnual)^(1/12)-1,B8,-AporteMensal,-PatrimonioInicial,0)</f>
        <v>45607.0544363433</v>
      </c>
      <c r="E8" s="9" t="n">
        <f aca="false">D8-C8</f>
        <v>9607.05443634334</v>
      </c>
      <c r="F8" s="9" t="n">
        <f aca="false">D8*DividendYield</f>
        <v>3192.49381054403</v>
      </c>
      <c r="G8" s="9" t="n">
        <f aca="false">F8/12</f>
        <v>266.04115087867</v>
      </c>
      <c r="H8" s="19" t="n">
        <f aca="false">G8/AporteMensal</f>
        <v>0.532082301757339</v>
      </c>
    </row>
    <row r="9" customFormat="false" ht="15" hidden="false" customHeight="false" outlineLevel="0" collapsed="false">
      <c r="A9" s="2" t="n">
        <v>7</v>
      </c>
      <c r="B9" s="3" t="n">
        <f aca="false">A9*12</f>
        <v>84</v>
      </c>
      <c r="C9" s="9" t="n">
        <f aca="false">B9*AporteMensal</f>
        <v>42000</v>
      </c>
      <c r="D9" s="9" t="n">
        <f aca="false">FV((1+RentabilidadeAnual)^(1/12)-1,B9,-AporteMensal,-PatrimonioInicial,0)</f>
        <v>55472.5620315084</v>
      </c>
      <c r="E9" s="9" t="n">
        <f aca="false">D9-C9</f>
        <v>13472.5620315084</v>
      </c>
      <c r="F9" s="9" t="n">
        <f aca="false">D9*DividendYield</f>
        <v>3883.07934220559</v>
      </c>
      <c r="G9" s="9" t="n">
        <f aca="false">F9/12</f>
        <v>323.589945183799</v>
      </c>
      <c r="H9" s="19" t="n">
        <f aca="false">G9/AporteMensal</f>
        <v>0.647179890367598</v>
      </c>
    </row>
    <row r="10" customFormat="false" ht="15" hidden="false" customHeight="false" outlineLevel="0" collapsed="false">
      <c r="A10" s="2" t="n">
        <v>8</v>
      </c>
      <c r="B10" s="3" t="n">
        <f aca="false">A10*12</f>
        <v>96</v>
      </c>
      <c r="C10" s="9" t="n">
        <f aca="false">B10*AporteMensal</f>
        <v>48000</v>
      </c>
      <c r="D10" s="9" t="n">
        <f aca="false">FV((1+RentabilidadeAnual)^(1/12)-1,B10,-AporteMensal,-PatrimonioInicial,0)</f>
        <v>66127.3102342867</v>
      </c>
      <c r="E10" s="9" t="n">
        <f aca="false">D10-C10</f>
        <v>18127.3102342867</v>
      </c>
      <c r="F10" s="9" t="n">
        <f aca="false">D10*DividendYield</f>
        <v>4628.91171640007</v>
      </c>
      <c r="G10" s="9" t="n">
        <f aca="false">F10/12</f>
        <v>385.742643033339</v>
      </c>
      <c r="H10" s="19" t="n">
        <f aca="false">G10/AporteMensal</f>
        <v>0.771485286066678</v>
      </c>
    </row>
    <row r="11" customFormat="false" ht="15" hidden="false" customHeight="false" outlineLevel="0" collapsed="false">
      <c r="A11" s="2" t="n">
        <v>9</v>
      </c>
      <c r="B11" s="3" t="n">
        <f aca="false">A11*12</f>
        <v>108</v>
      </c>
      <c r="C11" s="9" t="n">
        <f aca="false">B11*AporteMensal</f>
        <v>54000</v>
      </c>
      <c r="D11" s="9" t="n">
        <f aca="false">FV((1+RentabilidadeAnual)^(1/12)-1,B11,-AporteMensal,-PatrimonioInicial,0)</f>
        <v>77634.4382932872</v>
      </c>
      <c r="E11" s="9" t="n">
        <f aca="false">D11-C11</f>
        <v>23634.4382932872</v>
      </c>
      <c r="F11" s="9" t="n">
        <f aca="false">D11*DividendYield</f>
        <v>5434.41068053011</v>
      </c>
      <c r="G11" s="9" t="n">
        <f aca="false">F11/12</f>
        <v>452.867556710842</v>
      </c>
      <c r="H11" s="19" t="n">
        <f aca="false">G11/AporteMensal</f>
        <v>0.905735113421685</v>
      </c>
    </row>
    <row r="12" customFormat="false" ht="15" hidden="false" customHeight="false" outlineLevel="0" collapsed="false">
      <c r="A12" s="2" t="n">
        <v>10</v>
      </c>
      <c r="B12" s="3" t="n">
        <f aca="false">A12*12</f>
        <v>120</v>
      </c>
      <c r="C12" s="9" t="n">
        <f aca="false">B12*AporteMensal</f>
        <v>60000</v>
      </c>
      <c r="D12" s="9" t="n">
        <f aca="false">FV((1+RentabilidadeAnual)^(1/12)-1,B12,-AporteMensal,-PatrimonioInicial,0)</f>
        <v>90062.1365970078</v>
      </c>
      <c r="E12" s="9" t="n">
        <f aca="false">D12-C12</f>
        <v>30062.1365970078</v>
      </c>
      <c r="F12" s="9" t="n">
        <f aca="false">D12*DividendYield</f>
        <v>6304.34956179055</v>
      </c>
      <c r="G12" s="9" t="n">
        <f aca="false">F12/12</f>
        <v>525.362463482546</v>
      </c>
      <c r="H12" s="19" t="n">
        <f aca="false">G12/AporteMensal</f>
        <v>1.05072492696509</v>
      </c>
    </row>
    <row r="13" customFormat="false" ht="15" hidden="false" customHeight="false" outlineLevel="0" collapsed="false">
      <c r="A13" s="2" t="n">
        <v>11</v>
      </c>
      <c r="B13" s="3" t="n">
        <f aca="false">A13*12</f>
        <v>132</v>
      </c>
      <c r="C13" s="9" t="n">
        <f aca="false">B13*AporteMensal</f>
        <v>66000</v>
      </c>
      <c r="D13" s="9" t="n">
        <f aca="false">FV((1+RentabilidadeAnual)^(1/12)-1,B13,-AporteMensal,-PatrimonioInicial,0)</f>
        <v>103484.050765026</v>
      </c>
      <c r="E13" s="9" t="n">
        <f aca="false">D13-C13</f>
        <v>37484.0507650261</v>
      </c>
      <c r="F13" s="9" t="n">
        <f aca="false">D13*DividendYield</f>
        <v>7243.88355355183</v>
      </c>
      <c r="G13" s="9" t="n">
        <f aca="false">F13/12</f>
        <v>603.656962795985</v>
      </c>
      <c r="H13" s="19" t="n">
        <f aca="false">G13/AporteMensal</f>
        <v>1.20731392559197</v>
      </c>
    </row>
    <row r="14" customFormat="false" ht="15" hidden="false" customHeight="false" outlineLevel="0" collapsed="false">
      <c r="A14" s="2" t="n">
        <v>12</v>
      </c>
      <c r="B14" s="3" t="n">
        <f aca="false">A14*12</f>
        <v>144</v>
      </c>
      <c r="C14" s="9" t="n">
        <f aca="false">B14*AporteMensal</f>
        <v>72000</v>
      </c>
      <c r="D14" s="9" t="n">
        <f aca="false">FV((1+RentabilidadeAnual)^(1/12)-1,B14,-AporteMensal,-PatrimonioInicial,0)</f>
        <v>117979.718066486</v>
      </c>
      <c r="E14" s="9" t="n">
        <f aca="false">D14-C14</f>
        <v>45979.7180664857</v>
      </c>
      <c r="F14" s="9" t="n">
        <f aca="false">D14*DividendYield</f>
        <v>8258.580264654</v>
      </c>
      <c r="G14" s="9" t="n">
        <f aca="false">F14/12</f>
        <v>688.2150220545</v>
      </c>
      <c r="H14" s="19" t="n">
        <f aca="false">G14/AporteMensal</f>
        <v>1.376430044109</v>
      </c>
    </row>
    <row r="15" customFormat="false" ht="15" hidden="false" customHeight="false" outlineLevel="0" collapsed="false">
      <c r="A15" s="2" t="n">
        <v>13</v>
      </c>
      <c r="B15" s="3" t="n">
        <f aca="false">A15*12</f>
        <v>156</v>
      </c>
      <c r="C15" s="9" t="n">
        <f aca="false">B15*AporteMensal</f>
        <v>78000</v>
      </c>
      <c r="D15" s="9" t="n">
        <f aca="false">FV((1+RentabilidadeAnual)^(1/12)-1,B15,-AporteMensal,-PatrimonioInicial,0)</f>
        <v>133635.038752062</v>
      </c>
      <c r="E15" s="9" t="n">
        <f aca="false">D15-C15</f>
        <v>55635.0387520622</v>
      </c>
      <c r="F15" s="9" t="n">
        <f aca="false">D15*DividendYield</f>
        <v>9354.45271264435</v>
      </c>
      <c r="G15" s="9" t="n">
        <f aca="false">F15/12</f>
        <v>779.537726053696</v>
      </c>
      <c r="H15" s="19" t="n">
        <f aca="false">G15/AporteMensal</f>
        <v>1.55907545210739</v>
      </c>
    </row>
    <row r="16" customFormat="false" ht="15" hidden="false" customHeight="false" outlineLevel="0" collapsed="false">
      <c r="A16" s="2" t="n">
        <v>14</v>
      </c>
      <c r="B16" s="3" t="n">
        <f aca="false">A16*12</f>
        <v>168</v>
      </c>
      <c r="C16" s="9" t="n">
        <f aca="false">B16*AporteMensal</f>
        <v>84000</v>
      </c>
      <c r="D16" s="9" t="n">
        <f aca="false">FV((1+RentabilidadeAnual)^(1/12)-1,B16,-AporteMensal,-PatrimonioInicial,0)</f>
        <v>150542.785092485</v>
      </c>
      <c r="E16" s="9" t="n">
        <f aca="false">D16-C16</f>
        <v>66542.7850924847</v>
      </c>
      <c r="F16" s="9" t="n">
        <f aca="false">D16*DividendYield</f>
        <v>10537.9949564739</v>
      </c>
      <c r="G16" s="9" t="n">
        <f aca="false">F16/12</f>
        <v>878.166246372828</v>
      </c>
      <c r="H16" s="19" t="n">
        <f aca="false">G16/AporteMensal</f>
        <v>1.75633249274566</v>
      </c>
    </row>
    <row r="17" customFormat="false" ht="15" hidden="false" customHeight="false" outlineLevel="0" collapsed="false">
      <c r="A17" s="2" t="n">
        <v>15</v>
      </c>
      <c r="B17" s="3" t="n">
        <f aca="false">A17*12</f>
        <v>180</v>
      </c>
      <c r="C17" s="9" t="n">
        <f aca="false">B17*AporteMensal</f>
        <v>90000</v>
      </c>
      <c r="D17" s="9" t="n">
        <f aca="false">FV((1+RentabilidadeAnual)^(1/12)-1,B17,-AporteMensal,-PatrimonioInicial,0)</f>
        <v>168803.151140141</v>
      </c>
      <c r="E17" s="9" t="n">
        <f aca="false">D17-C17</f>
        <v>78803.1511401411</v>
      </c>
      <c r="F17" s="9" t="n">
        <f aca="false">D17*DividendYield</f>
        <v>11816.2205798099</v>
      </c>
      <c r="G17" s="9" t="n">
        <f aca="false">F17/12</f>
        <v>984.68504831749</v>
      </c>
      <c r="H17" s="19" t="n">
        <f aca="false">G17/AporteMensal</f>
        <v>1.96937009663498</v>
      </c>
    </row>
    <row r="18" customFormat="false" ht="15" hidden="false" customHeight="false" outlineLevel="0" collapsed="false">
      <c r="A18" s="2" t="n">
        <v>16</v>
      </c>
      <c r="B18" s="3" t="n">
        <f aca="false">A18*12</f>
        <v>192</v>
      </c>
      <c r="C18" s="9" t="n">
        <f aca="false">B18*AporteMensal</f>
        <v>96000</v>
      </c>
      <c r="D18" s="9" t="n">
        <f aca="false">FV((1+RentabilidadeAnual)^(1/12)-1,B18,-AporteMensal,-PatrimonioInicial,0)</f>
        <v>188524.34647161</v>
      </c>
      <c r="E18" s="9" t="n">
        <f aca="false">D18-C18</f>
        <v>92524.3464716099</v>
      </c>
      <c r="F18" s="9" t="n">
        <f aca="false">D18*DividendYield</f>
        <v>13196.7042530127</v>
      </c>
      <c r="G18" s="9" t="n">
        <f aca="false">F18/12</f>
        <v>1099.72535441772</v>
      </c>
      <c r="H18" s="19" t="n">
        <f aca="false">G18/AporteMensal</f>
        <v>2.19945070883545</v>
      </c>
    </row>
    <row r="19" customFormat="false" ht="15" hidden="false" customHeight="false" outlineLevel="0" collapsed="false">
      <c r="A19" s="2" t="n">
        <v>17</v>
      </c>
      <c r="B19" s="3" t="n">
        <f aca="false">A19*12</f>
        <v>204</v>
      </c>
      <c r="C19" s="9" t="n">
        <f aca="false">B19*AporteMensal</f>
        <v>102000</v>
      </c>
      <c r="D19" s="9" t="n">
        <f aca="false">FV((1+RentabilidadeAnual)^(1/12)-1,B19,-AporteMensal,-PatrimonioInicial,0)</f>
        <v>209823.237429596</v>
      </c>
      <c r="E19" s="9" t="n">
        <f aca="false">D19-C19</f>
        <v>107823.237429596</v>
      </c>
      <c r="F19" s="9" t="n">
        <f aca="false">D19*DividendYield</f>
        <v>14687.6266200717</v>
      </c>
      <c r="G19" s="9" t="n">
        <f aca="false">F19/12</f>
        <v>1223.96888500598</v>
      </c>
      <c r="H19" s="19" t="n">
        <f aca="false">G19/AporteMensal</f>
        <v>2.44793777001196</v>
      </c>
    </row>
    <row r="20" customFormat="false" ht="15" hidden="false" customHeight="false" outlineLevel="0" collapsed="false">
      <c r="A20" s="2" t="n">
        <v>18</v>
      </c>
      <c r="B20" s="3" t="n">
        <f aca="false">A20*12</f>
        <v>216</v>
      </c>
      <c r="C20" s="9" t="n">
        <f aca="false">B20*AporteMensal</f>
        <v>108000</v>
      </c>
      <c r="D20" s="9" t="n">
        <f aca="false">FV((1+RentabilidadeAnual)^(1/12)-1,B20,-AporteMensal,-PatrimonioInicial,0)</f>
        <v>232826.039664222</v>
      </c>
      <c r="E20" s="9" t="n">
        <f aca="false">D20-C20</f>
        <v>124826.039664222</v>
      </c>
      <c r="F20" s="9" t="n">
        <f aca="false">D20*DividendYield</f>
        <v>16297.8227764955</v>
      </c>
      <c r="G20" s="9" t="n">
        <f aca="false">F20/12</f>
        <v>1358.15189804129</v>
      </c>
      <c r="H20" s="19" t="n">
        <f aca="false">G20/AporteMensal</f>
        <v>2.71630379608258</v>
      </c>
    </row>
    <row r="21" customFormat="false" ht="15" hidden="false" customHeight="false" outlineLevel="0" collapsed="false">
      <c r="A21" s="2" t="n">
        <v>19</v>
      </c>
      <c r="B21" s="3" t="n">
        <f aca="false">A21*12</f>
        <v>228</v>
      </c>
      <c r="C21" s="9" t="n">
        <f aca="false">B21*AporteMensal</f>
        <v>114000</v>
      </c>
      <c r="D21" s="9" t="n">
        <f aca="false">FV((1+RentabilidadeAnual)^(1/12)-1,B21,-AporteMensal,-PatrimonioInicial,0)</f>
        <v>257669.066077617</v>
      </c>
      <c r="E21" s="9" t="n">
        <f aca="false">D21-C21</f>
        <v>143669.066077617</v>
      </c>
      <c r="F21" s="9" t="n">
        <f aca="false">D21*DividendYield</f>
        <v>18036.8346254332</v>
      </c>
      <c r="G21" s="9" t="n">
        <f aca="false">F21/12</f>
        <v>1503.06955211943</v>
      </c>
      <c r="H21" s="19" t="n">
        <f aca="false">G21/AporteMensal</f>
        <v>3.00613910423886</v>
      </c>
    </row>
    <row r="22" customFormat="false" ht="15" hidden="false" customHeight="false" outlineLevel="0" collapsed="false">
      <c r="A22" s="2" t="n">
        <v>20</v>
      </c>
      <c r="B22" s="3" t="n">
        <f aca="false">A22*12</f>
        <v>240</v>
      </c>
      <c r="C22" s="9" t="n">
        <f aca="false">B22*AporteMensal</f>
        <v>120000</v>
      </c>
      <c r="D22" s="9" t="n">
        <f aca="false">FV((1+RentabilidadeAnual)^(1/12)-1,B22,-AporteMensal,-PatrimonioInicial,0)</f>
        <v>284499.534604084</v>
      </c>
      <c r="E22" s="9" t="n">
        <f aca="false">D22-C22</f>
        <v>164499.534604084</v>
      </c>
      <c r="F22" s="9" t="n">
        <f aca="false">D22*DividendYield</f>
        <v>19914.9674222859</v>
      </c>
      <c r="G22" s="9" t="n">
        <f aca="false">F22/12</f>
        <v>1659.58061852382</v>
      </c>
      <c r="H22" s="19" t="n">
        <f aca="false">G22/AporteMensal</f>
        <v>3.31916123704764</v>
      </c>
    </row>
    <row r="23" customFormat="false" ht="15" hidden="false" customHeight="false" outlineLevel="0" collapsed="false">
      <c r="A23" s="2" t="n">
        <v>21</v>
      </c>
      <c r="B23" s="3" t="n">
        <f aca="false">A23*12</f>
        <v>252</v>
      </c>
      <c r="C23" s="9" t="n">
        <f aca="false">B23*AporteMensal</f>
        <v>126000</v>
      </c>
      <c r="D23" s="9" t="n">
        <f aca="false">FV((1+RentabilidadeAnual)^(1/12)-1,B23,-AporteMensal,-PatrimonioInicial,0)</f>
        <v>313476.440612668</v>
      </c>
      <c r="E23" s="9" t="n">
        <f aca="false">D23-C23</f>
        <v>187476.440612668</v>
      </c>
      <c r="F23" s="9" t="n">
        <f aca="false">D23*DividendYield</f>
        <v>21943.3508428868</v>
      </c>
      <c r="G23" s="9" t="n">
        <f aca="false">F23/12</f>
        <v>1828.61257024056</v>
      </c>
      <c r="H23" s="19" t="n">
        <f aca="false">G23/AporteMensal</f>
        <v>3.65722514048113</v>
      </c>
    </row>
    <row r="24" customFormat="false" ht="15" hidden="false" customHeight="false" outlineLevel="0" collapsed="false">
      <c r="A24" s="2" t="n">
        <v>22</v>
      </c>
      <c r="B24" s="3" t="n">
        <f aca="false">A24*12</f>
        <v>264</v>
      </c>
      <c r="C24" s="9" t="n">
        <f aca="false">B24*AporteMensal</f>
        <v>132000</v>
      </c>
      <c r="D24" s="9" t="n">
        <f aca="false">FV((1+RentabilidadeAnual)^(1/12)-1,B24,-AporteMensal,-PatrimonioInicial,0)</f>
        <v>344771.499101939</v>
      </c>
      <c r="E24" s="9" t="n">
        <f aca="false">D24-C24</f>
        <v>212771.499101939</v>
      </c>
      <c r="F24" s="9" t="n">
        <f aca="false">D24*DividendYield</f>
        <v>24134.0049371357</v>
      </c>
      <c r="G24" s="9" t="n">
        <f aca="false">F24/12</f>
        <v>2011.16707809464</v>
      </c>
      <c r="H24" s="19" t="n">
        <f aca="false">G24/AporteMensal</f>
        <v>4.02233415618929</v>
      </c>
    </row>
    <row r="25" customFormat="false" ht="15" hidden="false" customHeight="false" outlineLevel="0" collapsed="false">
      <c r="A25" s="2" t="n">
        <v>23</v>
      </c>
      <c r="B25" s="3" t="n">
        <f aca="false">A25*12</f>
        <v>276</v>
      </c>
      <c r="C25" s="9" t="n">
        <f aca="false">B25*AporteMensal</f>
        <v>138000</v>
      </c>
      <c r="D25" s="9" t="n">
        <f aca="false">FV((1+RentabilidadeAnual)^(1/12)-1,B25,-AporteMensal,-PatrimonioInicial,0)</f>
        <v>378570.162270352</v>
      </c>
      <c r="E25" s="9" t="n">
        <f aca="false">D25-C25</f>
        <v>240570.162270352</v>
      </c>
      <c r="F25" s="9" t="n">
        <f aca="false">D25*DividendYield</f>
        <v>26499.9113589246</v>
      </c>
      <c r="G25" s="9" t="n">
        <f aca="false">F25/12</f>
        <v>2208.32594657705</v>
      </c>
      <c r="H25" s="19" t="n">
        <f aca="false">G25/AporteMensal</f>
        <v>4.4166518931541</v>
      </c>
    </row>
    <row r="26" customFormat="false" ht="15" hidden="false" customHeight="false" outlineLevel="0" collapsed="false">
      <c r="A26" s="2" t="n">
        <v>24</v>
      </c>
      <c r="B26" s="3" t="n">
        <f aca="false">A26*12</f>
        <v>288</v>
      </c>
      <c r="C26" s="9" t="n">
        <f aca="false">B26*AporteMensal</f>
        <v>144000</v>
      </c>
      <c r="D26" s="9" t="n">
        <f aca="false">FV((1+RentabilidadeAnual)^(1/12)-1,B26,-AporteMensal,-PatrimonioInicial,0)</f>
        <v>415072.718492237</v>
      </c>
      <c r="E26" s="9" t="n">
        <f aca="false">D26-C26</f>
        <v>271072.718492237</v>
      </c>
      <c r="F26" s="9" t="n">
        <f aca="false">D26*DividendYield</f>
        <v>29055.0902944566</v>
      </c>
      <c r="G26" s="9" t="n">
        <f aca="false">F26/12</f>
        <v>2421.25752453805</v>
      </c>
      <c r="H26" s="19" t="n">
        <f aca="false">G26/AporteMensal</f>
        <v>4.8425150490761</v>
      </c>
    </row>
    <row r="27" customFormat="false" ht="15" hidden="false" customHeight="false" outlineLevel="0" collapsed="false">
      <c r="A27" s="2" t="n">
        <v>25</v>
      </c>
      <c r="B27" s="3" t="n">
        <f aca="false">A27*12</f>
        <v>300</v>
      </c>
      <c r="C27" s="9" t="n">
        <f aca="false">B27*AporteMensal</f>
        <v>150000</v>
      </c>
      <c r="D27" s="9" t="n">
        <f aca="false">FV((1+RentabilidadeAnual)^(1/12)-1,B27,-AporteMensal,-PatrimonioInicial,0)</f>
        <v>454495.479211874</v>
      </c>
      <c r="E27" s="9" t="n">
        <f aca="false">D27-C27</f>
        <v>304495.479211874</v>
      </c>
      <c r="F27" s="9" t="n">
        <f aca="false">D27*DividendYield</f>
        <v>31814.6835448312</v>
      </c>
      <c r="G27" s="9" t="n">
        <f aca="false">F27/12</f>
        <v>2651.22362873593</v>
      </c>
      <c r="H27" s="19" t="n">
        <f aca="false">G27/AporteMensal</f>
        <v>5.30244725747186</v>
      </c>
    </row>
    <row r="28" customFormat="false" ht="15" hidden="false" customHeight="false" outlineLevel="0" collapsed="false">
      <c r="A28" s="2" t="n">
        <v>26</v>
      </c>
      <c r="B28" s="3" t="n">
        <f aca="false">A28*12</f>
        <v>312</v>
      </c>
      <c r="C28" s="9" t="n">
        <f aca="false">B28*AporteMensal</f>
        <v>156000</v>
      </c>
      <c r="D28" s="9" t="n">
        <f aca="false">FV((1+RentabilidadeAnual)^(1/12)-1,B28,-AporteMensal,-PatrimonioInicial,0)</f>
        <v>497072.060789081</v>
      </c>
      <c r="E28" s="9" t="n">
        <f aca="false">D28-C28</f>
        <v>341072.060789081</v>
      </c>
      <c r="F28" s="9" t="n">
        <f aca="false">D28*DividendYield</f>
        <v>34795.0442552357</v>
      </c>
      <c r="G28" s="9" t="n">
        <f aca="false">F28/12</f>
        <v>2899.58702126964</v>
      </c>
      <c r="H28" s="19" t="n">
        <f aca="false">G28/AporteMensal</f>
        <v>5.79917404253928</v>
      </c>
    </row>
    <row r="29" customFormat="false" ht="15" hidden="false" customHeight="false" outlineLevel="0" collapsed="false">
      <c r="A29" s="2" t="n">
        <v>27</v>
      </c>
      <c r="B29" s="3" t="n">
        <f aca="false">A29*12</f>
        <v>324</v>
      </c>
      <c r="C29" s="9" t="n">
        <f aca="false">B29*AporteMensal</f>
        <v>162000</v>
      </c>
      <c r="D29" s="9" t="n">
        <f aca="false">FV((1+RentabilidadeAnual)^(1/12)-1,B29,-AporteMensal,-PatrimonioInicial,0)</f>
        <v>543054.768892465</v>
      </c>
      <c r="E29" s="9" t="n">
        <f aca="false">D29-C29</f>
        <v>381054.768892465</v>
      </c>
      <c r="F29" s="9" t="n">
        <f aca="false">D29*DividendYield</f>
        <v>38013.8338224725</v>
      </c>
      <c r="G29" s="9" t="n">
        <f aca="false">F29/12</f>
        <v>3167.81948520605</v>
      </c>
      <c r="H29" s="19" t="n">
        <f aca="false">G29/AporteMensal</f>
        <v>6.33563897041209</v>
      </c>
    </row>
    <row r="30" customFormat="false" ht="15" hidden="false" customHeight="false" outlineLevel="0" collapsed="false">
      <c r="A30" s="2" t="n">
        <v>28</v>
      </c>
      <c r="B30" s="3" t="n">
        <f aca="false">A30*12</f>
        <v>336</v>
      </c>
      <c r="C30" s="9" t="n">
        <f aca="false">B30*AporteMensal</f>
        <v>168000</v>
      </c>
      <c r="D30" s="9" t="n">
        <f aca="false">FV((1+RentabilidadeAnual)^(1/12)-1,B30,-AporteMensal,-PatrimonioInicial,0)</f>
        <v>592716.09364412</v>
      </c>
      <c r="E30" s="9" t="n">
        <f aca="false">D30-C30</f>
        <v>424716.09364412</v>
      </c>
      <c r="F30" s="9" t="n">
        <f aca="false">D30*DividendYield</f>
        <v>41490.1265550884</v>
      </c>
      <c r="G30" s="9" t="n">
        <f aca="false">F30/12</f>
        <v>3457.51054625736</v>
      </c>
      <c r="H30" s="19" t="n">
        <f aca="false">G30/AporteMensal</f>
        <v>6.91502109251473</v>
      </c>
    </row>
    <row r="31" customFormat="false" ht="15" hidden="false" customHeight="false" outlineLevel="0" collapsed="false">
      <c r="A31" s="2" t="n">
        <v>29</v>
      </c>
      <c r="B31" s="3" t="n">
        <f aca="false">A31*12</f>
        <v>348</v>
      </c>
      <c r="C31" s="9" t="n">
        <f aca="false">B31*AporteMensal</f>
        <v>174000</v>
      </c>
      <c r="D31" s="9" t="n">
        <f aca="false">FV((1+RentabilidadeAnual)^(1/12)-1,B31,-AporteMensal,-PatrimonioInicial,0)</f>
        <v>646350.324375907</v>
      </c>
      <c r="E31" s="9" t="n">
        <f aca="false">D31-C31</f>
        <v>472350.324375907</v>
      </c>
      <c r="F31" s="9" t="n">
        <f aca="false">D31*DividendYield</f>
        <v>45244.5227063135</v>
      </c>
      <c r="G31" s="9" t="n">
        <f aca="false">F31/12</f>
        <v>3770.37689219279</v>
      </c>
      <c r="H31" s="19" t="n">
        <f aca="false">G31/AporteMensal</f>
        <v>7.54075378438558</v>
      </c>
    </row>
    <row r="32" customFormat="false" ht="15" hidden="false" customHeight="false" outlineLevel="0" collapsed="false">
      <c r="A32" s="2" t="n">
        <v>30</v>
      </c>
      <c r="B32" s="3" t="n">
        <f aca="false">A32*12</f>
        <v>360</v>
      </c>
      <c r="C32" s="9" t="n">
        <f aca="false">B32*AporteMensal</f>
        <v>180000</v>
      </c>
      <c r="D32" s="9" t="n">
        <f aca="false">FV((1+RentabilidadeAnual)^(1/12)-1,B32,-AporteMensal,-PatrimonioInicial,0)</f>
        <v>704275.293566237</v>
      </c>
      <c r="E32" s="9" t="n">
        <f aca="false">D32-C32</f>
        <v>524275.293566237</v>
      </c>
      <c r="F32" s="9" t="n">
        <f aca="false">D32*DividendYield</f>
        <v>49299.2705496366</v>
      </c>
      <c r="G32" s="9" t="n">
        <f aca="false">F32/12</f>
        <v>4108.27254580305</v>
      </c>
      <c r="H32" s="19" t="n">
        <f aca="false">G32/AporteMensal</f>
        <v>8.21654509160609</v>
      </c>
    </row>
  </sheetData>
  <autoFilter ref="A3:H32"/>
  <mergeCells count="1">
    <mergeCell ref="A1:H1"/>
  </mergeCells>
  <conditionalFormatting sqref="D4:D32">
    <cfRule type="colorScale" priority="2">
      <colorScale>
        <cfvo type="min" val="0"/>
        <cfvo type="percentile" val="50"/>
        <cfvo type="max" val="0"/>
        <color rgb="FFFFFFFF"/>
        <color rgb="FFD9EAF7"/>
        <color rgb="FF70AD47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4"/>
    <col collapsed="false" customWidth="true" hidden="false" outlineLevel="0" max="4" min="3" style="0" width="22"/>
    <col collapsed="false" customWidth="true" hidden="false" outlineLevel="0" max="5" min="5" style="0" width="24"/>
    <col collapsed="false" customWidth="true" hidden="false" outlineLevel="0" max="8" min="6" style="0" width="22"/>
  </cols>
  <sheetData>
    <row r="1" customFormat="false" ht="22.05" hidden="false" customHeight="false" outlineLevel="0" collapsed="false">
      <c r="A1" s="1" t="s">
        <v>44</v>
      </c>
      <c r="B1" s="1"/>
      <c r="C1" s="1"/>
      <c r="D1" s="1"/>
      <c r="E1" s="1"/>
    </row>
    <row r="2" customFormat="false" ht="15" hidden="false" customHeight="false" outlineLevel="0" collapsed="false">
      <c r="A2" s="2"/>
      <c r="B2" s="3"/>
      <c r="C2" s="3"/>
      <c r="D2" s="3"/>
      <c r="E2" s="3"/>
    </row>
    <row r="3" customFormat="false" ht="15" hidden="false" customHeight="false" outlineLevel="0" collapsed="false">
      <c r="A3" s="14" t="s">
        <v>45</v>
      </c>
      <c r="B3" s="20" t="s">
        <v>46</v>
      </c>
      <c r="C3" s="3"/>
      <c r="D3" s="3"/>
      <c r="E3" s="3"/>
    </row>
    <row r="4" customFormat="false" ht="15" hidden="false" customHeight="true" outlineLevel="0" collapsed="false">
      <c r="A4" s="5" t="s">
        <v>47</v>
      </c>
      <c r="B4" s="21" t="s">
        <v>48</v>
      </c>
      <c r="C4" s="21"/>
      <c r="D4" s="21"/>
      <c r="E4" s="21"/>
    </row>
    <row r="5" customFormat="false" ht="15" hidden="false" customHeight="false" outlineLevel="0" collapsed="false">
      <c r="A5" s="5" t="s">
        <v>9</v>
      </c>
      <c r="B5" s="21" t="e">
        <f aca="false">(1+RentabilidadeAnual)^(1/12)-1 converte a taxa anual efetiva para uma taxa mensal equivalente.</f>
        <v>#VALUE!</v>
      </c>
      <c r="C5" s="21"/>
      <c r="D5" s="21"/>
      <c r="E5" s="21"/>
    </row>
    <row r="6" customFormat="false" ht="15" hidden="false" customHeight="false" outlineLevel="0" collapsed="false">
      <c r="A6" s="5" t="s">
        <v>49</v>
      </c>
      <c r="B6" s="21" t="e">
        <f aca="false">vf(taxa mensal; meses; -aporte mensal; -patrimônio inicial; 0). calcula o valor futuro com capitalização mensal e aportes regulares.</f>
        <v>#VALUE!</v>
      </c>
      <c r="C6" s="21"/>
      <c r="D6" s="21"/>
      <c r="E6" s="21"/>
    </row>
    <row r="7" customFormat="false" ht="15" hidden="false" customHeight="false" outlineLevel="0" collapsed="false">
      <c r="A7" s="5" t="s">
        <v>41</v>
      </c>
      <c r="B7" s="21" t="e">
        <f aca="false">patrimônio final × Dividend Yield anual.</f>
        <v>#N/A</v>
      </c>
      <c r="C7" s="21"/>
      <c r="D7" s="21"/>
      <c r="E7" s="21"/>
    </row>
    <row r="8" customFormat="false" ht="15" hidden="false" customHeight="false" outlineLevel="0" collapsed="false">
      <c r="A8" s="5" t="s">
        <v>42</v>
      </c>
      <c r="B8" s="21" t="e">
        <f aca="false">dividendos anuais ÷ 12.</f>
        <v>#N/A</v>
      </c>
      <c r="C8" s="21"/>
      <c r="D8" s="21"/>
      <c r="E8" s="21"/>
    </row>
    <row r="9" customFormat="false" ht="28.35" hidden="false" customHeight="true" outlineLevel="0" collapsed="false">
      <c r="A9" s="5" t="s">
        <v>50</v>
      </c>
      <c r="B9" s="21" t="s">
        <v>51</v>
      </c>
      <c r="C9" s="21"/>
      <c r="D9" s="21"/>
      <c r="E9" s="21"/>
    </row>
    <row r="10" customFormat="false" ht="28.35" hidden="false" customHeight="true" outlineLevel="0" collapsed="false">
      <c r="A10" s="5" t="s">
        <v>52</v>
      </c>
      <c r="B10" s="21" t="s">
        <v>53</v>
      </c>
      <c r="C10" s="21"/>
      <c r="D10" s="21"/>
      <c r="E10" s="21"/>
    </row>
    <row r="11" customFormat="false" ht="28.35" hidden="false" customHeight="true" outlineLevel="0" collapsed="false">
      <c r="A11" s="5" t="s">
        <v>54</v>
      </c>
      <c r="B11" s="21" t="s">
        <v>55</v>
      </c>
      <c r="C11" s="21"/>
      <c r="D11" s="21"/>
      <c r="E11" s="21"/>
    </row>
  </sheetData>
  <mergeCells count="9">
    <mergeCell ref="A1:E1"/>
    <mergeCell ref="B4:E4"/>
    <mergeCell ref="B5:E5"/>
    <mergeCell ref="B6:E6"/>
    <mergeCell ref="B7:E7"/>
    <mergeCell ref="B8:E8"/>
    <mergeCell ref="B9:E9"/>
    <mergeCell ref="B10:E10"/>
    <mergeCell ref="B11:E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2026-10-06T17:27:55Z</dcterms:created>
  <dc:creator>Marina Ribas</dc:creator>
  <dc:description/>
  <dc:language>en-US</dc:language>
  <cp:lastModifiedBy/>
  <dcterms:modified xsi:type="dcterms:W3CDTF">2026-10-06T17:27:55Z</dcterms:modified>
  <cp:revision>0</cp:revision>
  <dc:subject>Simulação de aportes mensais, patrimônio e dividendos</dc:subject>
  <dc:title>Simulador de Investimentos em Fundos Imobiliários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